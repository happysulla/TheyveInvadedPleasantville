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tewa01\Documents\HereWeGo\TheyveInvadedPleasantville\DesignDocs\"/>
    </mc:Choice>
  </mc:AlternateContent>
  <xr:revisionPtr revIDLastSave="0" documentId="13_ncr:1_{637EB894-C135-4EFD-B709-B0915FAEBBEB}" xr6:coauthVersionLast="47" xr6:coauthVersionMax="47" xr10:uidLastSave="{00000000-0000-0000-0000-000000000000}"/>
  <bookViews>
    <workbookView xWindow="-16410" yWindow="2565" windowWidth="13005" windowHeight="11295" xr2:uid="{002B2B59-D8A8-4BB9-87C6-F4AD8728CD0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 s="1"/>
  <c r="B9" i="1" l="1"/>
  <c r="B10" i="1" l="1"/>
  <c r="B11" i="1" l="1"/>
  <c r="B12" i="1" l="1"/>
  <c r="B13" i="1" l="1"/>
  <c r="B14" i="1" l="1"/>
  <c r="B15" i="1" l="1"/>
  <c r="B16" i="1" l="1"/>
  <c r="B17" i="1" l="1"/>
  <c r="B18" i="1" l="1"/>
  <c r="B19" i="1" l="1"/>
  <c r="B20" i="1" l="1"/>
  <c r="B21" i="1" l="1"/>
  <c r="B22" i="1" l="1"/>
  <c r="B23" i="1" l="1"/>
  <c r="B24" i="1" l="1"/>
  <c r="B25" i="1" l="1"/>
  <c r="B26" i="1" l="1"/>
  <c r="B27" i="1" l="1"/>
  <c r="B28" i="1" l="1"/>
  <c r="B29" i="1" l="1"/>
  <c r="B30" i="1" l="1"/>
  <c r="B31" i="1" l="1"/>
  <c r="B32" i="1" l="1"/>
  <c r="B33" i="1" l="1"/>
  <c r="B34" i="1" l="1"/>
  <c r="B35" i="1" l="1"/>
  <c r="B36" i="1" l="1"/>
  <c r="B37" i="1" l="1"/>
  <c r="B38" i="1" l="1"/>
  <c r="B39" i="1" l="1"/>
  <c r="B40" i="1" l="1"/>
  <c r="B41" i="1" l="1"/>
  <c r="B42" i="1" l="1"/>
  <c r="B43" i="1" l="1"/>
  <c r="B44" i="1" l="1"/>
  <c r="B45" i="1" l="1"/>
  <c r="B46" i="1" l="1"/>
  <c r="B47" i="1" l="1"/>
  <c r="B48" i="1" l="1"/>
  <c r="B49" i="1" l="1"/>
  <c r="B50" i="1" l="1"/>
  <c r="B51" i="1" l="1"/>
  <c r="B52" i="1" l="1"/>
  <c r="B53" i="1" l="1"/>
  <c r="B54" i="1" l="1"/>
  <c r="B55" i="1" l="1"/>
  <c r="B56" i="1" l="1"/>
  <c r="B57" i="1" l="1"/>
  <c r="B58" i="1" l="1"/>
  <c r="B59" i="1" l="1"/>
  <c r="B60" i="1" l="1"/>
  <c r="B61" i="1" l="1"/>
  <c r="B62" i="1" l="1"/>
  <c r="B63" i="1" l="1"/>
  <c r="B64" i="1" l="1"/>
  <c r="B65" i="1" l="1"/>
  <c r="B66" i="1" l="1"/>
  <c r="B67" i="1" l="1"/>
  <c r="C6" i="1" l="1"/>
  <c r="C7" i="1"/>
  <c r="C4" i="1"/>
  <c r="C5" i="1"/>
  <c r="C8" i="1"/>
  <c r="C2" i="1"/>
  <c r="C3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D3" i="1" l="1"/>
  <c r="E3" i="1" s="1"/>
  <c r="F2" i="1" s="1"/>
  <c r="D2" i="1"/>
  <c r="E2" i="1" s="1"/>
  <c r="F1" i="1" s="1"/>
  <c r="C67" i="1"/>
  <c r="D4" i="1" l="1"/>
  <c r="E4" i="1" l="1"/>
  <c r="F3" i="1" s="1"/>
  <c r="D5" i="1"/>
  <c r="E5" i="1" l="1"/>
  <c r="F4" i="1" s="1"/>
  <c r="D6" i="1"/>
  <c r="E6" i="1" l="1"/>
  <c r="F5" i="1" s="1"/>
  <c r="D7" i="1"/>
  <c r="E7" i="1" l="1"/>
  <c r="F6" i="1" s="1"/>
  <c r="D8" i="1"/>
  <c r="E8" i="1" l="1"/>
  <c r="F7" i="1" s="1"/>
  <c r="D9" i="1"/>
  <c r="E9" i="1" l="1"/>
  <c r="F8" i="1" s="1"/>
  <c r="D10" i="1"/>
  <c r="E10" i="1" l="1"/>
  <c r="F9" i="1" s="1"/>
  <c r="D11" i="1"/>
  <c r="E11" i="1" l="1"/>
  <c r="F10" i="1" s="1"/>
  <c r="D12" i="1"/>
  <c r="G9" i="1"/>
  <c r="E12" i="1" l="1"/>
  <c r="F11" i="1" s="1"/>
  <c r="D13" i="1"/>
  <c r="E13" i="1" l="1"/>
  <c r="F12" i="1" s="1"/>
  <c r="D14" i="1"/>
  <c r="E14" i="1" l="1"/>
  <c r="F13" i="1" s="1"/>
  <c r="D15" i="1"/>
  <c r="E15" i="1" l="1"/>
  <c r="F14" i="1" s="1"/>
  <c r="D16" i="1"/>
  <c r="E16" i="1" l="1"/>
  <c r="F15" i="1" s="1"/>
  <c r="D17" i="1"/>
  <c r="E17" i="1" l="1"/>
  <c r="F16" i="1" s="1"/>
  <c r="G16" i="1" s="1"/>
  <c r="D18" i="1"/>
  <c r="E18" i="1" l="1"/>
  <c r="F17" i="1" s="1"/>
  <c r="D19" i="1"/>
  <c r="E19" i="1" l="1"/>
  <c r="F18" i="1" s="1"/>
  <c r="D20" i="1"/>
  <c r="E20" i="1" l="1"/>
  <c r="F19" i="1" s="1"/>
  <c r="D21" i="1"/>
  <c r="E21" i="1" l="1"/>
  <c r="F20" i="1" s="1"/>
  <c r="D22" i="1"/>
  <c r="E22" i="1" l="1"/>
  <c r="F21" i="1" s="1"/>
  <c r="D23" i="1"/>
  <c r="E23" i="1" l="1"/>
  <c r="F22" i="1" s="1"/>
  <c r="D24" i="1"/>
  <c r="E24" i="1" l="1"/>
  <c r="F23" i="1" s="1"/>
  <c r="D25" i="1"/>
  <c r="E25" i="1" l="1"/>
  <c r="F24" i="1" s="1"/>
  <c r="D26" i="1"/>
  <c r="E26" i="1" l="1"/>
  <c r="F25" i="1" s="1"/>
  <c r="D27" i="1"/>
  <c r="E27" i="1" l="1"/>
  <c r="F26" i="1" s="1"/>
  <c r="D28" i="1"/>
  <c r="E28" i="1" l="1"/>
  <c r="F27" i="1" s="1"/>
  <c r="D29" i="1"/>
  <c r="E29" i="1" l="1"/>
  <c r="F28" i="1" s="1"/>
  <c r="D30" i="1"/>
  <c r="E30" i="1" l="1"/>
  <c r="F29" i="1" s="1"/>
  <c r="D31" i="1"/>
  <c r="E31" i="1" l="1"/>
  <c r="F30" i="1" s="1"/>
  <c r="D32" i="1"/>
  <c r="E32" i="1" l="1"/>
  <c r="F31" i="1" s="1"/>
  <c r="D33" i="1"/>
  <c r="E33" i="1" l="1"/>
  <c r="F32" i="1" s="1"/>
  <c r="D34" i="1"/>
  <c r="E34" i="1" l="1"/>
  <c r="F33" i="1" s="1"/>
  <c r="D35" i="1"/>
  <c r="E35" i="1" l="1"/>
  <c r="F34" i="1" s="1"/>
  <c r="D36" i="1"/>
  <c r="E36" i="1" l="1"/>
  <c r="F35" i="1" s="1"/>
  <c r="D37" i="1"/>
  <c r="E37" i="1" l="1"/>
  <c r="F36" i="1" s="1"/>
  <c r="D38" i="1"/>
  <c r="E38" i="1" l="1"/>
  <c r="F37" i="1" s="1"/>
  <c r="D39" i="1"/>
  <c r="E39" i="1" l="1"/>
  <c r="F38" i="1" s="1"/>
  <c r="D40" i="1"/>
  <c r="E40" i="1" l="1"/>
  <c r="F39" i="1" s="1"/>
  <c r="D41" i="1"/>
  <c r="E41" i="1" l="1"/>
  <c r="F40" i="1" s="1"/>
  <c r="D42" i="1"/>
  <c r="E42" i="1" l="1"/>
  <c r="F41" i="1" s="1"/>
  <c r="D43" i="1"/>
  <c r="E43" i="1" l="1"/>
  <c r="F42" i="1" s="1"/>
  <c r="D44" i="1"/>
  <c r="E44" i="1" l="1"/>
  <c r="F43" i="1" s="1"/>
  <c r="D45" i="1"/>
  <c r="E45" i="1" l="1"/>
  <c r="F44" i="1" s="1"/>
  <c r="D46" i="1"/>
  <c r="E46" i="1" l="1"/>
  <c r="F45" i="1" s="1"/>
  <c r="G45" i="1" s="1"/>
  <c r="D47" i="1"/>
  <c r="E47" i="1" l="1"/>
  <c r="F46" i="1" s="1"/>
  <c r="D48" i="1"/>
  <c r="E48" i="1" l="1"/>
  <c r="F47" i="1" s="1"/>
  <c r="D49" i="1"/>
  <c r="E49" i="1" l="1"/>
  <c r="F48" i="1" s="1"/>
  <c r="D50" i="1"/>
  <c r="E50" i="1" l="1"/>
  <c r="F49" i="1" s="1"/>
  <c r="D51" i="1"/>
  <c r="E51" i="1" l="1"/>
  <c r="F50" i="1" s="1"/>
  <c r="D52" i="1"/>
  <c r="E52" i="1" l="1"/>
  <c r="F51" i="1" s="1"/>
  <c r="D53" i="1"/>
  <c r="E53" i="1" l="1"/>
  <c r="F52" i="1" s="1"/>
  <c r="D54" i="1"/>
  <c r="E54" i="1" l="1"/>
  <c r="F53" i="1" s="1"/>
  <c r="D55" i="1"/>
  <c r="E55" i="1" l="1"/>
  <c r="F54" i="1" s="1"/>
  <c r="D56" i="1"/>
  <c r="E56" i="1" l="1"/>
  <c r="F55" i="1" s="1"/>
  <c r="D57" i="1"/>
  <c r="E57" i="1" l="1"/>
  <c r="F56" i="1" s="1"/>
  <c r="D58" i="1"/>
  <c r="E58" i="1" l="1"/>
  <c r="F57" i="1" s="1"/>
  <c r="D59" i="1"/>
  <c r="E59" i="1" l="1"/>
  <c r="F58" i="1" s="1"/>
  <c r="D60" i="1"/>
  <c r="E60" i="1" l="1"/>
  <c r="F59" i="1" s="1"/>
  <c r="G59" i="1" s="1"/>
  <c r="D61" i="1"/>
  <c r="E61" i="1" l="1"/>
  <c r="F60" i="1" s="1"/>
  <c r="D62" i="1"/>
  <c r="E62" i="1" l="1"/>
  <c r="F61" i="1" s="1"/>
  <c r="D63" i="1"/>
  <c r="E63" i="1" l="1"/>
  <c r="F62" i="1" s="1"/>
  <c r="D64" i="1"/>
  <c r="E64" i="1" l="1"/>
  <c r="F63" i="1" s="1"/>
  <c r="D65" i="1"/>
  <c r="E65" i="1" l="1"/>
  <c r="F64" i="1" s="1"/>
  <c r="D66" i="1"/>
  <c r="E66" i="1" s="1"/>
  <c r="F65" i="1" l="1"/>
</calcChain>
</file>

<file path=xl/sharedStrings.xml><?xml version="1.0" encoding="utf-8"?>
<sst xmlns="http://schemas.openxmlformats.org/spreadsheetml/2006/main" count="67" uniqueCount="65">
  <si>
    <t>Tavern_2</t>
  </si>
  <si>
    <t>Church_5</t>
  </si>
  <si>
    <t>GeneralStore_2</t>
  </si>
  <si>
    <t>School_1</t>
  </si>
  <si>
    <t>Bank_4</t>
  </si>
  <si>
    <t>SheriffFireDept_4</t>
  </si>
  <si>
    <t>HotelAndRestaurant_4</t>
  </si>
  <si>
    <t>MachineShop_3</t>
  </si>
  <si>
    <t>Church_4</t>
  </si>
  <si>
    <t>HotelAndRestaurant_2</t>
  </si>
  <si>
    <t>HotelAndRestaurant_3</t>
  </si>
  <si>
    <t>MachineShop_2</t>
  </si>
  <si>
    <t>Bank_3</t>
  </si>
  <si>
    <t>Church_2</t>
  </si>
  <si>
    <t>Church_1</t>
  </si>
  <si>
    <t>HotelAndRestaurant_1</t>
  </si>
  <si>
    <t>HotelAndRestaurant_5</t>
  </si>
  <si>
    <t>BarAndGrill_2</t>
  </si>
  <si>
    <t>Tavern_1</t>
  </si>
  <si>
    <t>House_8</t>
  </si>
  <si>
    <t>TrainStation_1</t>
  </si>
  <si>
    <t>TrainStation_2</t>
  </si>
  <si>
    <t>House_6</t>
  </si>
  <si>
    <t>House_3</t>
  </si>
  <si>
    <t>LawyersOffice_1</t>
  </si>
  <si>
    <t>BarAndGrill_1</t>
  </si>
  <si>
    <t>StockPen_1</t>
  </si>
  <si>
    <t>GasPumps_1</t>
  </si>
  <si>
    <t>VetOffice_1</t>
  </si>
  <si>
    <t>House_1</t>
  </si>
  <si>
    <t>DocOffice_1</t>
  </si>
  <si>
    <t>House_5</t>
  </si>
  <si>
    <t>DocOffice_2</t>
  </si>
  <si>
    <t>House_A</t>
  </si>
  <si>
    <t>GeneralStore_1</t>
  </si>
  <si>
    <t>School_3</t>
  </si>
  <si>
    <t>GeneralStore_4</t>
  </si>
  <si>
    <t>House_4</t>
  </si>
  <si>
    <t>TownHall_3</t>
  </si>
  <si>
    <t>GeneralStore_3</t>
  </si>
  <si>
    <t>VetOffice_2</t>
  </si>
  <si>
    <t>Tavern_3</t>
  </si>
  <si>
    <t>TownHall_2</t>
  </si>
  <si>
    <t>Bank_1</t>
  </si>
  <si>
    <t>House_7</t>
  </si>
  <si>
    <t>Bank_2</t>
  </si>
  <si>
    <t>House_K</t>
  </si>
  <si>
    <t>School_2</t>
  </si>
  <si>
    <t>School_4</t>
  </si>
  <si>
    <t>House_2</t>
  </si>
  <si>
    <t>ClothingStore_2</t>
  </si>
  <si>
    <t>SheriffFireDept_1</t>
  </si>
  <si>
    <t>SheriffFireDept_2</t>
  </si>
  <si>
    <t>ClothingStore_1</t>
  </si>
  <si>
    <t>SheriffFireDept_3</t>
  </si>
  <si>
    <t>VFW</t>
  </si>
  <si>
    <t>Total Buildings</t>
  </si>
  <si>
    <t>Base Chance</t>
  </si>
  <si>
    <t>Supermarket_1</t>
  </si>
  <si>
    <t>Supermarket_2</t>
  </si>
  <si>
    <t>Supermarket_3</t>
  </si>
  <si>
    <t>Supermarket_5</t>
  </si>
  <si>
    <t>Supermarket_4</t>
  </si>
  <si>
    <t>MachineShop_4</t>
  </si>
  <si>
    <t>Graveyard_1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</si>
</sst>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" fontId="0" fillId="0" borderId="0" xfId="0" applyNumberFormat="1"/>
    <xf numFmtId="0" fontId="0" fillId="2" borderId="0" xfId="0" applyFill="1"/>
    <xf numFmtId="1" fontId="0" fillId="2" borderId="0" xfId="0" applyNumberFormat="1" applyFill="1"/>
    <xf numFmtId="0" fontId="0" fillId="3" borderId="0" xfId="0" applyFill="1"/>
    <xf numFmtId="1" fontId="0" fillId="3" borderId="0" xfId="0" applyNumberFormat="1" applyFill="1"/>
    <xf numFmtId="0" fontId="0" fillId="4" borderId="0" xfId="0" applyFill="1"/>
    <xf numFmtId="1" fontId="0" fillId="4" borderId="0" xfId="0" applyNumberFormat="1" applyFill="1"/>
    <xf numFmtId="0" fontId="0" fillId="5" borderId="0" xfId="0" applyFill="1"/>
    <xf numFmtId="1" fontId="0" fillId="5" borderId="0" xfId="0" applyNumberFormat="1" applyFill="1"/>
    <xf numFmtId="0" fontId="0" fillId="6" borderId="0" xfId="0" applyFill="1"/>
    <xf numFmtId="1" fontId="0" fillId="6" borderId="0" xfId="0" applyNumberFormat="1" applyFill="1"/>
    <xf numFmtId="0" fontId="0" fillId="0" borderId="0" xfId="0" applyFill="1"/>
    <xf numFmtId="0" fontId="1" fillId="0" borderId="0" xfId="0" applyFont="1" applyFill="1"/>
    <xf numFmtId="1" fontId="0" fillId="0" borderId="0" xfId="0" applyNumberFormat="1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6A185-FCEE-40C9-BE1E-8928E2D93669}">
  <dimension ref="A1:G70"/>
  <sheetViews>
    <sheetView tabSelected="1" workbookViewId="0">
      <selection activeCell="I4" sqref="I4"/>
    </sheetView>
  </sheetViews>
  <sheetFormatPr defaultRowHeight="15" x14ac:dyDescent="0.25"/>
  <cols>
    <col min="1" max="1" width="20.7109375" bestFit="1" customWidth="1"/>
    <col min="5" max="5" width="9" style="1"/>
    <col min="6" max="6" width="9.140625" style="15"/>
  </cols>
  <sheetData>
    <row r="1" spans="1:7" x14ac:dyDescent="0.25">
      <c r="A1" s="2" t="s">
        <v>1</v>
      </c>
      <c r="B1" s="2"/>
      <c r="C1" s="2"/>
      <c r="D1" s="2"/>
      <c r="E1" s="3">
        <v>0</v>
      </c>
      <c r="F1" s="15">
        <f>E2/$B$70*100</f>
        <v>3.0303030303030303</v>
      </c>
    </row>
    <row r="2" spans="1:7" x14ac:dyDescent="0.25">
      <c r="A2" s="2" t="s">
        <v>6</v>
      </c>
      <c r="B2" s="2">
        <f>B69</f>
        <v>65</v>
      </c>
      <c r="C2" s="2">
        <f>B2/$B$67</f>
        <v>3.0303030303030304E-2</v>
      </c>
      <c r="D2" s="2">
        <f>C2</f>
        <v>3.0303030303030304E-2</v>
      </c>
      <c r="E2" s="3">
        <f>D2*$B$70</f>
        <v>3030.3030303030305</v>
      </c>
      <c r="F2" s="15">
        <f>(E3-E2)/$B$70*100</f>
        <v>2.9836829836829835</v>
      </c>
    </row>
    <row r="3" spans="1:7" x14ac:dyDescent="0.25">
      <c r="A3" s="2" t="s">
        <v>58</v>
      </c>
      <c r="B3" s="2">
        <f>B2-1</f>
        <v>64</v>
      </c>
      <c r="C3" s="2">
        <f>B3/$B$67</f>
        <v>2.9836829836829837E-2</v>
      </c>
      <c r="D3" s="2">
        <f>C3+D2</f>
        <v>6.0139860139860141E-2</v>
      </c>
      <c r="E3" s="3">
        <f t="shared" ref="E3:E66" si="0">D3*$B$70</f>
        <v>6013.9860139860139</v>
      </c>
      <c r="F3" s="15">
        <f>(E4-E3)/$B$70*100</f>
        <v>2.9370629370629375</v>
      </c>
    </row>
    <row r="4" spans="1:7" x14ac:dyDescent="0.25">
      <c r="A4" s="2" t="s">
        <v>2</v>
      </c>
      <c r="B4" s="2">
        <f t="shared" ref="B4:B66" si="1">B3-1</f>
        <v>63</v>
      </c>
      <c r="C4" s="2">
        <f>B4/$B$67</f>
        <v>2.937062937062937E-2</v>
      </c>
      <c r="D4" s="2">
        <f t="shared" ref="D4:D65" si="2">C4+D3</f>
        <v>8.951048951048951E-2</v>
      </c>
      <c r="E4" s="3">
        <f t="shared" si="0"/>
        <v>8951.0489510489515</v>
      </c>
      <c r="F4" s="15">
        <f>(E5-E4)/$B$70*100</f>
        <v>2.8904428904428894</v>
      </c>
    </row>
    <row r="5" spans="1:7" x14ac:dyDescent="0.25">
      <c r="A5" s="2" t="s">
        <v>3</v>
      </c>
      <c r="B5" s="2">
        <f t="shared" si="1"/>
        <v>62</v>
      </c>
      <c r="C5" s="2">
        <f>B5/$B$67</f>
        <v>2.8904428904428906E-2</v>
      </c>
      <c r="D5" s="2">
        <f t="shared" si="2"/>
        <v>0.11841491841491841</v>
      </c>
      <c r="E5" s="3">
        <f t="shared" si="0"/>
        <v>11841.491841491841</v>
      </c>
      <c r="F5" s="15">
        <f>(E6-E5)/$B$70*100</f>
        <v>2.8438228438228434</v>
      </c>
    </row>
    <row r="6" spans="1:7" x14ac:dyDescent="0.25">
      <c r="A6" s="2" t="s">
        <v>7</v>
      </c>
      <c r="B6" s="2">
        <f t="shared" si="1"/>
        <v>61</v>
      </c>
      <c r="C6" s="2">
        <f>B6/$B$67</f>
        <v>2.8438228438228439E-2</v>
      </c>
      <c r="D6" s="2">
        <f t="shared" si="2"/>
        <v>0.14685314685314685</v>
      </c>
      <c r="E6" s="3">
        <f t="shared" si="0"/>
        <v>14685.314685314685</v>
      </c>
      <c r="F6" s="15">
        <f>(E7-E6)/$B$70*100</f>
        <v>2.7972027972027953</v>
      </c>
    </row>
    <row r="7" spans="1:7" x14ac:dyDescent="0.25">
      <c r="A7" s="2" t="s">
        <v>0</v>
      </c>
      <c r="B7" s="2">
        <f t="shared" si="1"/>
        <v>60</v>
      </c>
      <c r="C7" s="2">
        <f>B7/$B$67</f>
        <v>2.7972027972027972E-2</v>
      </c>
      <c r="D7" s="2">
        <f t="shared" si="2"/>
        <v>0.17482517482517482</v>
      </c>
      <c r="E7" s="3">
        <f t="shared" si="0"/>
        <v>17482.51748251748</v>
      </c>
      <c r="F7" s="15">
        <f>(E8-E7)/$B$70*100</f>
        <v>2.7505827505827511</v>
      </c>
    </row>
    <row r="8" spans="1:7" x14ac:dyDescent="0.25">
      <c r="A8" s="2" t="s">
        <v>4</v>
      </c>
      <c r="B8" s="2">
        <f t="shared" si="1"/>
        <v>59</v>
      </c>
      <c r="C8" s="2">
        <f>B8/$B$67</f>
        <v>2.7505827505827505E-2</v>
      </c>
      <c r="D8" s="2">
        <f t="shared" si="2"/>
        <v>0.20233100233100232</v>
      </c>
      <c r="E8" s="3">
        <f t="shared" si="0"/>
        <v>20233.100233100231</v>
      </c>
      <c r="F8" s="15">
        <f>(E9-E8)/$B$70*100</f>
        <v>2.7039627039627048</v>
      </c>
    </row>
    <row r="9" spans="1:7" x14ac:dyDescent="0.25">
      <c r="A9" s="2" t="s">
        <v>5</v>
      </c>
      <c r="B9" s="2">
        <f t="shared" si="1"/>
        <v>58</v>
      </c>
      <c r="C9" s="2">
        <f>B9/$B$67</f>
        <v>2.7039627039627041E-2</v>
      </c>
      <c r="D9" s="2">
        <f t="shared" si="2"/>
        <v>0.22937062937062935</v>
      </c>
      <c r="E9" s="3">
        <f t="shared" si="0"/>
        <v>22937.062937062936</v>
      </c>
      <c r="F9" s="15">
        <f>(E10-E9)/$B$70*100</f>
        <v>2.6573426573426584</v>
      </c>
      <c r="G9" s="15">
        <f>SUM(F1:F9)</f>
        <v>25.594405594405593</v>
      </c>
    </row>
    <row r="10" spans="1:7" x14ac:dyDescent="0.25">
      <c r="A10" s="4" t="s">
        <v>8</v>
      </c>
      <c r="B10" s="4">
        <f t="shared" si="1"/>
        <v>57</v>
      </c>
      <c r="C10" s="4">
        <f>B10/$B$67</f>
        <v>2.6573426573426574E-2</v>
      </c>
      <c r="D10" s="4">
        <f t="shared" si="2"/>
        <v>0.25594405594405595</v>
      </c>
      <c r="E10" s="5">
        <f t="shared" si="0"/>
        <v>25594.405594405594</v>
      </c>
      <c r="F10" s="15">
        <f>(E11-E10)/$B$70*100</f>
        <v>2.6107226107226085</v>
      </c>
    </row>
    <row r="11" spans="1:7" x14ac:dyDescent="0.25">
      <c r="A11" s="4" t="s">
        <v>9</v>
      </c>
      <c r="B11" s="4">
        <f t="shared" si="1"/>
        <v>56</v>
      </c>
      <c r="C11" s="4">
        <f>B11/$B$67</f>
        <v>2.6107226107226107E-2</v>
      </c>
      <c r="D11" s="4">
        <f t="shared" si="2"/>
        <v>0.28205128205128205</v>
      </c>
      <c r="E11" s="5">
        <f t="shared" si="0"/>
        <v>28205.128205128203</v>
      </c>
      <c r="F11" s="15">
        <f>(E12-E11)/$B$70*100</f>
        <v>2.5641025641025661</v>
      </c>
    </row>
    <row r="12" spans="1:7" x14ac:dyDescent="0.25">
      <c r="A12" s="4" t="s">
        <v>10</v>
      </c>
      <c r="B12" s="4">
        <f t="shared" si="1"/>
        <v>55</v>
      </c>
      <c r="C12" s="4">
        <f>B12/$B$67</f>
        <v>2.564102564102564E-2</v>
      </c>
      <c r="D12" s="4">
        <f t="shared" si="2"/>
        <v>0.30769230769230771</v>
      </c>
      <c r="E12" s="5">
        <f t="shared" si="0"/>
        <v>30769.23076923077</v>
      </c>
      <c r="F12" s="15">
        <f>(E13-E12)/$B$70*100</f>
        <v>2.5174825174825202</v>
      </c>
    </row>
    <row r="13" spans="1:7" x14ac:dyDescent="0.25">
      <c r="A13" s="4" t="s">
        <v>59</v>
      </c>
      <c r="B13" s="4">
        <f t="shared" si="1"/>
        <v>54</v>
      </c>
      <c r="C13" s="4">
        <f>B13/$B$67</f>
        <v>2.5174825174825177E-2</v>
      </c>
      <c r="D13" s="4">
        <f t="shared" si="2"/>
        <v>0.33286713286713288</v>
      </c>
      <c r="E13" s="5">
        <f t="shared" si="0"/>
        <v>33286.71328671329</v>
      </c>
      <c r="F13" s="15">
        <f>(E14-E13)/$B$70*100</f>
        <v>2.4708624708624702</v>
      </c>
    </row>
    <row r="14" spans="1:7" x14ac:dyDescent="0.25">
      <c r="A14" s="4" t="s">
        <v>11</v>
      </c>
      <c r="B14" s="4">
        <f t="shared" si="1"/>
        <v>53</v>
      </c>
      <c r="C14" s="4">
        <f>B14/$B$67</f>
        <v>2.4708624708624709E-2</v>
      </c>
      <c r="D14" s="4">
        <f t="shared" si="2"/>
        <v>0.3575757575757576</v>
      </c>
      <c r="E14" s="5">
        <f t="shared" si="0"/>
        <v>35757.57575757576</v>
      </c>
      <c r="F14" s="15">
        <f>(E15-E14)/$B$70*100</f>
        <v>2.4242424242424239</v>
      </c>
    </row>
    <row r="15" spans="1:7" x14ac:dyDescent="0.25">
      <c r="A15" s="4" t="s">
        <v>12</v>
      </c>
      <c r="B15" s="4">
        <f t="shared" si="1"/>
        <v>52</v>
      </c>
      <c r="C15" s="4">
        <f>B15/$B$67</f>
        <v>2.4242424242424242E-2</v>
      </c>
      <c r="D15" s="4">
        <f t="shared" si="2"/>
        <v>0.38181818181818183</v>
      </c>
      <c r="E15" s="5">
        <f t="shared" si="0"/>
        <v>38181.818181818184</v>
      </c>
      <c r="F15" s="15">
        <f>(E16-E15)/$B$70*100</f>
        <v>2.3776223776223779</v>
      </c>
    </row>
    <row r="16" spans="1:7" x14ac:dyDescent="0.25">
      <c r="A16" s="4" t="s">
        <v>14</v>
      </c>
      <c r="B16" s="4">
        <f t="shared" si="1"/>
        <v>51</v>
      </c>
      <c r="C16" s="4">
        <f>B16/$B$67</f>
        <v>2.3776223776223775E-2</v>
      </c>
      <c r="D16" s="4">
        <f t="shared" si="2"/>
        <v>0.40559440559440563</v>
      </c>
      <c r="E16" s="5">
        <f t="shared" si="0"/>
        <v>40559.440559440562</v>
      </c>
      <c r="F16" s="15">
        <f>(E17-E16)/$B$70*100</f>
        <v>2.3310023310023316</v>
      </c>
      <c r="G16" s="15">
        <f>SUM(F1:F16)</f>
        <v>42.890442890442891</v>
      </c>
    </row>
    <row r="17" spans="1:6" x14ac:dyDescent="0.25">
      <c r="A17" s="6" t="s">
        <v>13</v>
      </c>
      <c r="B17" s="6">
        <f t="shared" si="1"/>
        <v>50</v>
      </c>
      <c r="C17" s="6">
        <f>B17/$B$67</f>
        <v>2.3310023310023312E-2</v>
      </c>
      <c r="D17" s="6">
        <f t="shared" si="2"/>
        <v>0.42890442890442892</v>
      </c>
      <c r="E17" s="7">
        <f t="shared" si="0"/>
        <v>42890.442890442893</v>
      </c>
      <c r="F17" s="15">
        <f>(E18-E17)/$B$70*100</f>
        <v>2.2843822843822856</v>
      </c>
    </row>
    <row r="18" spans="1:6" x14ac:dyDescent="0.25">
      <c r="A18" s="6" t="s">
        <v>15</v>
      </c>
      <c r="B18" s="6">
        <f t="shared" si="1"/>
        <v>49</v>
      </c>
      <c r="C18" s="6">
        <f>B18/$B$67</f>
        <v>2.2843822843822845E-2</v>
      </c>
      <c r="D18" s="6">
        <f t="shared" si="2"/>
        <v>0.45174825174825178</v>
      </c>
      <c r="E18" s="7">
        <f t="shared" si="0"/>
        <v>45174.825174825179</v>
      </c>
      <c r="F18" s="15">
        <f>(E19-E18)/$B$70*100</f>
        <v>2.2377622377622393</v>
      </c>
    </row>
    <row r="19" spans="1:6" x14ac:dyDescent="0.25">
      <c r="A19" s="6" t="s">
        <v>16</v>
      </c>
      <c r="B19" s="6">
        <f t="shared" si="1"/>
        <v>48</v>
      </c>
      <c r="C19" s="6">
        <f>B19/$B$67</f>
        <v>2.2377622377622378E-2</v>
      </c>
      <c r="D19" s="6">
        <f t="shared" si="2"/>
        <v>0.47412587412587415</v>
      </c>
      <c r="E19" s="7">
        <f t="shared" si="0"/>
        <v>47412.587412587418</v>
      </c>
      <c r="F19" s="15">
        <f>(E20-E19)/$B$70*100</f>
        <v>2.1911421911421858</v>
      </c>
    </row>
    <row r="20" spans="1:6" x14ac:dyDescent="0.25">
      <c r="A20" s="6" t="s">
        <v>60</v>
      </c>
      <c r="B20" s="6">
        <f t="shared" si="1"/>
        <v>47</v>
      </c>
      <c r="C20" s="6">
        <f>B20/$B$67</f>
        <v>2.1911421911421911E-2</v>
      </c>
      <c r="D20" s="6">
        <f t="shared" si="2"/>
        <v>0.49603729603729607</v>
      </c>
      <c r="E20" s="7">
        <f t="shared" si="0"/>
        <v>49603.729603729604</v>
      </c>
      <c r="F20" s="15">
        <f>(E21-E20)/$B$70*100</f>
        <v>2.144522144522147</v>
      </c>
    </row>
    <row r="21" spans="1:6" x14ac:dyDescent="0.25">
      <c r="A21" s="6" t="s">
        <v>17</v>
      </c>
      <c r="B21" s="6">
        <f t="shared" si="1"/>
        <v>46</v>
      </c>
      <c r="C21" s="6">
        <f>B21/$B$67</f>
        <v>2.1445221445221447E-2</v>
      </c>
      <c r="D21" s="6">
        <f t="shared" si="2"/>
        <v>0.5174825174825175</v>
      </c>
      <c r="E21" s="7">
        <f t="shared" si="0"/>
        <v>51748.251748251751</v>
      </c>
      <c r="F21" s="15">
        <f>(E22-E21)/$B$70*100</f>
        <v>2.0979020979020935</v>
      </c>
    </row>
    <row r="22" spans="1:6" x14ac:dyDescent="0.25">
      <c r="A22" s="6" t="s">
        <v>18</v>
      </c>
      <c r="B22" s="6">
        <f t="shared" si="1"/>
        <v>45</v>
      </c>
      <c r="C22" s="6">
        <f>B22/$B$67</f>
        <v>2.097902097902098E-2</v>
      </c>
      <c r="D22" s="6">
        <f t="shared" si="2"/>
        <v>0.53846153846153844</v>
      </c>
      <c r="E22" s="7">
        <f t="shared" si="0"/>
        <v>53846.153846153844</v>
      </c>
      <c r="F22" s="15">
        <f>(E23-E22)/$B$70*100</f>
        <v>2.0512820512820542</v>
      </c>
    </row>
    <row r="23" spans="1:6" x14ac:dyDescent="0.25">
      <c r="A23" s="6" t="s">
        <v>19</v>
      </c>
      <c r="B23" s="6">
        <f t="shared" si="1"/>
        <v>44</v>
      </c>
      <c r="C23" s="6">
        <f>B23/$B$67</f>
        <v>2.0512820512820513E-2</v>
      </c>
      <c r="D23" s="6">
        <f t="shared" si="2"/>
        <v>0.55897435897435899</v>
      </c>
      <c r="E23" s="7">
        <f t="shared" si="0"/>
        <v>55897.435897435898</v>
      </c>
      <c r="F23" s="15">
        <f>(E24-E23)/$B$70*100</f>
        <v>2.0046620046620083</v>
      </c>
    </row>
    <row r="24" spans="1:6" x14ac:dyDescent="0.25">
      <c r="A24" s="6" t="s">
        <v>20</v>
      </c>
      <c r="B24" s="6">
        <f t="shared" si="1"/>
        <v>43</v>
      </c>
      <c r="C24" s="6">
        <f>B24/$B$67</f>
        <v>2.0046620046620046E-2</v>
      </c>
      <c r="D24" s="6">
        <f t="shared" si="2"/>
        <v>0.57902097902097904</v>
      </c>
      <c r="E24" s="7">
        <f t="shared" si="0"/>
        <v>57902.097902097907</v>
      </c>
      <c r="F24" s="15">
        <f>(E25-E24)/$B$70*100</f>
        <v>1.9580419580419548</v>
      </c>
    </row>
    <row r="25" spans="1:6" x14ac:dyDescent="0.25">
      <c r="A25" s="6" t="s">
        <v>21</v>
      </c>
      <c r="B25" s="6">
        <f t="shared" si="1"/>
        <v>42</v>
      </c>
      <c r="C25" s="6">
        <f>B25/$B$67</f>
        <v>1.9580419580419582E-2</v>
      </c>
      <c r="D25" s="6">
        <f t="shared" si="2"/>
        <v>0.5986013986013986</v>
      </c>
      <c r="E25" s="7">
        <f t="shared" si="0"/>
        <v>59860.139860139861</v>
      </c>
      <c r="F25" s="15">
        <f>(E26-E25)/$B$70*100</f>
        <v>1.9114219114219086</v>
      </c>
    </row>
    <row r="26" spans="1:6" x14ac:dyDescent="0.25">
      <c r="A26" s="6" t="s">
        <v>22</v>
      </c>
      <c r="B26" s="6">
        <f t="shared" si="1"/>
        <v>41</v>
      </c>
      <c r="C26" s="6">
        <f>B26/$B$67</f>
        <v>1.9114219114219115E-2</v>
      </c>
      <c r="D26" s="6">
        <f t="shared" si="2"/>
        <v>0.61771561771561767</v>
      </c>
      <c r="E26" s="7">
        <f t="shared" si="0"/>
        <v>61771.56177156177</v>
      </c>
      <c r="F26" s="15">
        <f>(E27-E26)/$B$70*100</f>
        <v>1.8648018648018623</v>
      </c>
    </row>
    <row r="27" spans="1:6" x14ac:dyDescent="0.25">
      <c r="A27" s="6" t="s">
        <v>23</v>
      </c>
      <c r="B27" s="6">
        <f t="shared" si="1"/>
        <v>40</v>
      </c>
      <c r="C27" s="6">
        <f>B27/$B$67</f>
        <v>1.8648018648018648E-2</v>
      </c>
      <c r="D27" s="6">
        <f t="shared" si="2"/>
        <v>0.63636363636363635</v>
      </c>
      <c r="E27" s="7">
        <f t="shared" si="0"/>
        <v>63636.363636363632</v>
      </c>
      <c r="F27" s="15">
        <f>(E28-E27)/$B$70*100</f>
        <v>1.8181818181818237</v>
      </c>
    </row>
    <row r="28" spans="1:6" x14ac:dyDescent="0.25">
      <c r="A28" s="6" t="s">
        <v>61</v>
      </c>
      <c r="B28" s="6">
        <f t="shared" si="1"/>
        <v>39</v>
      </c>
      <c r="C28" s="6">
        <f>B28/$B$67</f>
        <v>1.8181818181818181E-2</v>
      </c>
      <c r="D28" s="6">
        <f t="shared" si="2"/>
        <v>0.65454545454545454</v>
      </c>
      <c r="E28" s="7">
        <f t="shared" si="0"/>
        <v>65454.545454545456</v>
      </c>
      <c r="F28" s="15">
        <f>(E29-E28)/$B$70*100</f>
        <v>1.77156177156177</v>
      </c>
    </row>
    <row r="29" spans="1:6" x14ac:dyDescent="0.25">
      <c r="A29" s="6" t="s">
        <v>63</v>
      </c>
      <c r="B29" s="6">
        <f t="shared" si="1"/>
        <v>38</v>
      </c>
      <c r="C29" s="6">
        <f>B29/$B$67</f>
        <v>1.7715617715617717E-2</v>
      </c>
      <c r="D29" s="6">
        <f t="shared" si="2"/>
        <v>0.67226107226107223</v>
      </c>
      <c r="E29" s="7">
        <f t="shared" si="0"/>
        <v>67226.107226107226</v>
      </c>
      <c r="F29" s="15">
        <f>(E30-E29)/$B$70*100</f>
        <v>1.7249417249417167</v>
      </c>
    </row>
    <row r="30" spans="1:6" x14ac:dyDescent="0.25">
      <c r="A30" s="6" t="s">
        <v>7</v>
      </c>
      <c r="B30" s="6">
        <f t="shared" si="1"/>
        <v>37</v>
      </c>
      <c r="C30" s="6">
        <f>B30/$B$67</f>
        <v>1.724941724941725E-2</v>
      </c>
      <c r="D30" s="6">
        <f t="shared" si="2"/>
        <v>0.68951048951048943</v>
      </c>
      <c r="E30" s="7">
        <f t="shared" si="0"/>
        <v>68951.048951048942</v>
      </c>
      <c r="F30" s="15">
        <f>(E31-E30)/$B$70*100</f>
        <v>1.6783216783216777</v>
      </c>
    </row>
    <row r="31" spans="1:6" x14ac:dyDescent="0.25">
      <c r="A31" s="6" t="s">
        <v>64</v>
      </c>
      <c r="B31" s="6">
        <f t="shared" si="1"/>
        <v>36</v>
      </c>
      <c r="C31" s="6">
        <f>B31/$B$67</f>
        <v>1.6783216783216783E-2</v>
      </c>
      <c r="D31" s="6">
        <f t="shared" si="2"/>
        <v>0.70629370629370625</v>
      </c>
      <c r="E31" s="7">
        <f t="shared" si="0"/>
        <v>70629.37062937062</v>
      </c>
      <c r="F31" s="15">
        <f>(E32-E31)/$B$70*100</f>
        <v>1.6317016317016386</v>
      </c>
    </row>
    <row r="32" spans="1:6" x14ac:dyDescent="0.25">
      <c r="A32" s="6" t="s">
        <v>8</v>
      </c>
      <c r="B32" s="6">
        <f t="shared" si="1"/>
        <v>35</v>
      </c>
      <c r="C32" s="6">
        <f>B32/$B$67</f>
        <v>1.6317016317016316E-2</v>
      </c>
      <c r="D32" s="6">
        <f t="shared" si="2"/>
        <v>0.72261072261072257</v>
      </c>
      <c r="E32" s="7">
        <f t="shared" si="0"/>
        <v>72261.072261072259</v>
      </c>
      <c r="F32" s="15">
        <f>(E33-E32)/$B$70*100</f>
        <v>1.5850815850815851</v>
      </c>
    </row>
    <row r="33" spans="1:7" x14ac:dyDescent="0.25">
      <c r="A33" s="6" t="s">
        <v>62</v>
      </c>
      <c r="B33" s="6">
        <f t="shared" si="1"/>
        <v>34</v>
      </c>
      <c r="C33" s="6">
        <f>B33/$B$67</f>
        <v>1.5850815850815853E-2</v>
      </c>
      <c r="D33" s="6">
        <f t="shared" si="2"/>
        <v>0.73846153846153839</v>
      </c>
      <c r="E33" s="7">
        <f t="shared" si="0"/>
        <v>73846.153846153844</v>
      </c>
      <c r="F33" s="15">
        <f>(E34-E33)/$B$70*100</f>
        <v>1.5384615384615463</v>
      </c>
    </row>
    <row r="34" spans="1:7" x14ac:dyDescent="0.25">
      <c r="A34" s="6" t="s">
        <v>24</v>
      </c>
      <c r="B34" s="6">
        <f t="shared" si="1"/>
        <v>33</v>
      </c>
      <c r="C34" s="6">
        <f>B34/$B$67</f>
        <v>1.5384615384615385E-2</v>
      </c>
      <c r="D34" s="6">
        <f t="shared" si="2"/>
        <v>0.75384615384615383</v>
      </c>
      <c r="E34" s="7">
        <f t="shared" si="0"/>
        <v>75384.61538461539</v>
      </c>
      <c r="F34" s="15">
        <f>(E35-E34)/$B$70*100</f>
        <v>1.4918414918414928</v>
      </c>
    </row>
    <row r="35" spans="1:7" x14ac:dyDescent="0.25">
      <c r="A35" s="6" t="s">
        <v>25</v>
      </c>
      <c r="B35" s="6">
        <f t="shared" si="1"/>
        <v>32</v>
      </c>
      <c r="C35" s="6">
        <f>B35/$B$67</f>
        <v>1.4918414918414918E-2</v>
      </c>
      <c r="D35" s="6">
        <f t="shared" si="2"/>
        <v>0.76876456876456878</v>
      </c>
      <c r="E35" s="7">
        <f t="shared" si="0"/>
        <v>76876.456876456883</v>
      </c>
      <c r="F35" s="15">
        <f>(E36-E35)/$B$70*100</f>
        <v>1.4452214452214394</v>
      </c>
    </row>
    <row r="36" spans="1:7" x14ac:dyDescent="0.25">
      <c r="A36" s="6" t="s">
        <v>26</v>
      </c>
      <c r="B36" s="6">
        <f t="shared" si="1"/>
        <v>31</v>
      </c>
      <c r="C36" s="6">
        <f>B36/$B$67</f>
        <v>1.4452214452214453E-2</v>
      </c>
      <c r="D36" s="6">
        <f t="shared" si="2"/>
        <v>0.78321678321678323</v>
      </c>
      <c r="E36" s="7">
        <f t="shared" si="0"/>
        <v>78321.678321678322</v>
      </c>
      <c r="F36" s="15">
        <f>(E37-E36)/$B$70*100</f>
        <v>1.3986013986014005</v>
      </c>
    </row>
    <row r="37" spans="1:7" x14ac:dyDescent="0.25">
      <c r="A37" s="6" t="s">
        <v>27</v>
      </c>
      <c r="B37" s="6">
        <f t="shared" si="1"/>
        <v>30</v>
      </c>
      <c r="C37" s="6">
        <f>B37/$B$67</f>
        <v>1.3986013986013986E-2</v>
      </c>
      <c r="D37" s="6">
        <f t="shared" si="2"/>
        <v>0.79720279720279719</v>
      </c>
      <c r="E37" s="7">
        <f t="shared" si="0"/>
        <v>79720.279720279723</v>
      </c>
      <c r="F37" s="15">
        <f>(E38-E37)/$B$70*100</f>
        <v>1.3519813519813471</v>
      </c>
    </row>
    <row r="38" spans="1:7" x14ac:dyDescent="0.25">
      <c r="A38" s="6" t="s">
        <v>28</v>
      </c>
      <c r="B38" s="6">
        <f t="shared" si="1"/>
        <v>29</v>
      </c>
      <c r="C38" s="6">
        <f>B38/$B$67</f>
        <v>1.3519813519813521E-2</v>
      </c>
      <c r="D38" s="6">
        <f t="shared" si="2"/>
        <v>0.81072261072261076</v>
      </c>
      <c r="E38" s="7">
        <f t="shared" si="0"/>
        <v>81072.26107226107</v>
      </c>
      <c r="F38" s="15">
        <f>(E39-E38)/$B$70*100</f>
        <v>1.305361305361308</v>
      </c>
    </row>
    <row r="39" spans="1:7" x14ac:dyDescent="0.25">
      <c r="A39" s="6" t="s">
        <v>29</v>
      </c>
      <c r="B39" s="6">
        <f t="shared" si="1"/>
        <v>28</v>
      </c>
      <c r="C39" s="6">
        <f>B39/$B$67</f>
        <v>1.3053613053613054E-2</v>
      </c>
      <c r="D39" s="6">
        <f t="shared" si="2"/>
        <v>0.82377622377622384</v>
      </c>
      <c r="E39" s="7">
        <f t="shared" si="0"/>
        <v>82377.622377622378</v>
      </c>
      <c r="F39" s="15">
        <f>(E40-E39)/$B$70*100</f>
        <v>1.258741258741269</v>
      </c>
    </row>
    <row r="40" spans="1:7" x14ac:dyDescent="0.25">
      <c r="A40" s="6" t="s">
        <v>30</v>
      </c>
      <c r="B40" s="6">
        <f t="shared" si="1"/>
        <v>27</v>
      </c>
      <c r="C40" s="6">
        <f>B40/$B$67</f>
        <v>1.2587412587412588E-2</v>
      </c>
      <c r="D40" s="6">
        <f t="shared" si="2"/>
        <v>0.83636363636363642</v>
      </c>
      <c r="E40" s="7">
        <f t="shared" si="0"/>
        <v>83636.363636363647</v>
      </c>
      <c r="F40" s="15">
        <f>(E41-E40)/$B$70*100</f>
        <v>1.2121212121212011</v>
      </c>
    </row>
    <row r="41" spans="1:7" x14ac:dyDescent="0.25">
      <c r="A41" s="6" t="s">
        <v>31</v>
      </c>
      <c r="B41" s="6">
        <f t="shared" si="1"/>
        <v>26</v>
      </c>
      <c r="C41" s="6">
        <f>B41/$B$67</f>
        <v>1.2121212121212121E-2</v>
      </c>
      <c r="D41" s="6">
        <f t="shared" si="2"/>
        <v>0.84848484848484851</v>
      </c>
      <c r="E41" s="7">
        <f t="shared" si="0"/>
        <v>84848.484848484848</v>
      </c>
      <c r="F41" s="15">
        <f>(E42-E41)/$B$70*100</f>
        <v>1.1655011655011767</v>
      </c>
    </row>
    <row r="42" spans="1:7" x14ac:dyDescent="0.25">
      <c r="A42" s="6" t="s">
        <v>32</v>
      </c>
      <c r="B42" s="6">
        <f t="shared" si="1"/>
        <v>25</v>
      </c>
      <c r="C42" s="6">
        <f>B42/$B$67</f>
        <v>1.1655011655011656E-2</v>
      </c>
      <c r="D42" s="6">
        <f t="shared" si="2"/>
        <v>0.86013986013986021</v>
      </c>
      <c r="E42" s="7">
        <f t="shared" si="0"/>
        <v>86013.986013986025</v>
      </c>
      <c r="F42" s="15">
        <f>(E43-E42)/$B$70*100</f>
        <v>1.1188811188811232</v>
      </c>
    </row>
    <row r="43" spans="1:7" x14ac:dyDescent="0.25">
      <c r="A43" s="6" t="s">
        <v>33</v>
      </c>
      <c r="B43" s="6">
        <f t="shared" si="1"/>
        <v>24</v>
      </c>
      <c r="C43" s="6">
        <f>B43/$B$67</f>
        <v>1.1188811188811189E-2</v>
      </c>
      <c r="D43" s="6">
        <f t="shared" si="2"/>
        <v>0.87132867132867142</v>
      </c>
      <c r="E43" s="7">
        <f t="shared" si="0"/>
        <v>87132.867132867148</v>
      </c>
      <c r="F43" s="15">
        <f>(E44-E43)/$B$70*100</f>
        <v>1.0722610722610697</v>
      </c>
    </row>
    <row r="44" spans="1:7" x14ac:dyDescent="0.25">
      <c r="A44" s="6" t="s">
        <v>34</v>
      </c>
      <c r="B44" s="6">
        <f t="shared" si="1"/>
        <v>23</v>
      </c>
      <c r="C44" s="6">
        <f>B44/$B$67</f>
        <v>1.0722610722610723E-2</v>
      </c>
      <c r="D44" s="6">
        <f t="shared" si="2"/>
        <v>0.88205128205128214</v>
      </c>
      <c r="E44" s="7">
        <f t="shared" si="0"/>
        <v>88205.128205128218</v>
      </c>
      <c r="F44" s="15">
        <f>(E45-E44)/$B$70*100</f>
        <v>1.0256410256410162</v>
      </c>
    </row>
    <row r="45" spans="1:7" x14ac:dyDescent="0.25">
      <c r="A45" s="6" t="s">
        <v>35</v>
      </c>
      <c r="B45" s="6">
        <f t="shared" si="1"/>
        <v>22</v>
      </c>
      <c r="C45" s="6">
        <f>B45/$B$67</f>
        <v>1.0256410256410256E-2</v>
      </c>
      <c r="D45" s="6">
        <f t="shared" si="2"/>
        <v>0.89230769230769236</v>
      </c>
      <c r="E45" s="7">
        <f t="shared" si="0"/>
        <v>89230.769230769234</v>
      </c>
      <c r="F45" s="15">
        <f>(E46-E45)/$B$70*100</f>
        <v>0.97902097902099194</v>
      </c>
      <c r="G45" s="1">
        <f>SUM(F1:F45)</f>
        <v>90.209790209790228</v>
      </c>
    </row>
    <row r="46" spans="1:7" x14ac:dyDescent="0.25">
      <c r="A46" s="8" t="s">
        <v>36</v>
      </c>
      <c r="B46" s="8">
        <f t="shared" si="1"/>
        <v>21</v>
      </c>
      <c r="C46" s="8">
        <f>B46/$B$67</f>
        <v>9.7902097902097911E-3</v>
      </c>
      <c r="D46" s="8">
        <f t="shared" si="2"/>
        <v>0.90209790209790219</v>
      </c>
      <c r="E46" s="9">
        <f t="shared" si="0"/>
        <v>90209.790209790226</v>
      </c>
      <c r="F46" s="15">
        <f>(E47-E46)/$B$70*100</f>
        <v>0.93240093240092392</v>
      </c>
    </row>
    <row r="47" spans="1:7" x14ac:dyDescent="0.25">
      <c r="A47" s="8" t="s">
        <v>37</v>
      </c>
      <c r="B47" s="8">
        <f t="shared" si="1"/>
        <v>20</v>
      </c>
      <c r="C47" s="8">
        <f>B47/$B$67</f>
        <v>9.324009324009324E-3</v>
      </c>
      <c r="D47" s="8">
        <f t="shared" si="2"/>
        <v>0.91142191142191153</v>
      </c>
      <c r="E47" s="9">
        <f t="shared" si="0"/>
        <v>91142.19114219115</v>
      </c>
      <c r="F47" s="15">
        <f>(E48-E47)/$B$70*100</f>
        <v>0.88578088578088499</v>
      </c>
    </row>
    <row r="48" spans="1:7" x14ac:dyDescent="0.25">
      <c r="A48" s="8" t="s">
        <v>38</v>
      </c>
      <c r="B48" s="8">
        <f t="shared" si="1"/>
        <v>19</v>
      </c>
      <c r="C48" s="8">
        <f>B48/$B$67</f>
        <v>8.8578088578088587E-3</v>
      </c>
      <c r="D48" s="8">
        <f t="shared" si="2"/>
        <v>0.92027972027972038</v>
      </c>
      <c r="E48" s="9">
        <f t="shared" si="0"/>
        <v>92027.972027972035</v>
      </c>
      <c r="F48" s="15">
        <f>(E49-E48)/$B$70*100</f>
        <v>0.83916083916083151</v>
      </c>
    </row>
    <row r="49" spans="1:7" x14ac:dyDescent="0.25">
      <c r="A49" s="8" t="s">
        <v>39</v>
      </c>
      <c r="B49" s="8">
        <f t="shared" si="1"/>
        <v>18</v>
      </c>
      <c r="C49" s="8">
        <f>B49/$B$67</f>
        <v>8.3916083916083916E-3</v>
      </c>
      <c r="D49" s="8">
        <f t="shared" si="2"/>
        <v>0.92867132867132873</v>
      </c>
      <c r="E49" s="9">
        <f t="shared" si="0"/>
        <v>92867.132867132867</v>
      </c>
      <c r="F49" s="15">
        <f>(E50-E49)/$B$70*100</f>
        <v>0.79254079254080723</v>
      </c>
    </row>
    <row r="50" spans="1:7" x14ac:dyDescent="0.25">
      <c r="A50" s="8" t="s">
        <v>40</v>
      </c>
      <c r="B50" s="8">
        <f t="shared" si="1"/>
        <v>17</v>
      </c>
      <c r="C50" s="8">
        <f>B50/$B$67</f>
        <v>7.9254079254079263E-3</v>
      </c>
      <c r="D50" s="8">
        <f t="shared" si="2"/>
        <v>0.9365967365967367</v>
      </c>
      <c r="E50" s="9">
        <f t="shared" si="0"/>
        <v>93659.673659673674</v>
      </c>
      <c r="F50" s="15">
        <f>(E51-E50)/$B$70*100</f>
        <v>0.7459207459207392</v>
      </c>
    </row>
    <row r="51" spans="1:7" x14ac:dyDescent="0.25">
      <c r="A51" s="8" t="s">
        <v>41</v>
      </c>
      <c r="B51" s="8">
        <f t="shared" si="1"/>
        <v>16</v>
      </c>
      <c r="C51" s="8">
        <f>B51/$B$67</f>
        <v>7.4592074592074592E-3</v>
      </c>
      <c r="D51" s="8">
        <f t="shared" si="2"/>
        <v>0.94405594405594417</v>
      </c>
      <c r="E51" s="9">
        <f t="shared" si="0"/>
        <v>94405.594405594413</v>
      </c>
      <c r="F51" s="15">
        <f>(E52-E51)/$B$70*100</f>
        <v>0.69930069930070027</v>
      </c>
    </row>
    <row r="52" spans="1:7" x14ac:dyDescent="0.25">
      <c r="A52" s="8" t="s">
        <v>42</v>
      </c>
      <c r="B52" s="8">
        <f t="shared" si="1"/>
        <v>15</v>
      </c>
      <c r="C52" s="8">
        <f>B52/$B$67</f>
        <v>6.993006993006993E-3</v>
      </c>
      <c r="D52" s="8">
        <f t="shared" si="2"/>
        <v>0.95104895104895115</v>
      </c>
      <c r="E52" s="9">
        <f t="shared" si="0"/>
        <v>95104.895104895113</v>
      </c>
      <c r="F52" s="15">
        <f>(E53-E52)/$B$70*100</f>
        <v>0.65268065268064679</v>
      </c>
    </row>
    <row r="53" spans="1:7" x14ac:dyDescent="0.25">
      <c r="A53" s="8" t="s">
        <v>43</v>
      </c>
      <c r="B53" s="8">
        <f t="shared" si="1"/>
        <v>14</v>
      </c>
      <c r="C53" s="8">
        <f>B53/$B$67</f>
        <v>6.5268065268065268E-3</v>
      </c>
      <c r="D53" s="8">
        <f t="shared" si="2"/>
        <v>0.95757575757575764</v>
      </c>
      <c r="E53" s="9">
        <f t="shared" si="0"/>
        <v>95757.57575757576</v>
      </c>
      <c r="F53" s="15">
        <f>(E54-E53)/$B$70*100</f>
        <v>0.60606060606060774</v>
      </c>
    </row>
    <row r="54" spans="1:7" x14ac:dyDescent="0.25">
      <c r="A54" s="8" t="s">
        <v>44</v>
      </c>
      <c r="B54" s="8">
        <f t="shared" si="1"/>
        <v>13</v>
      </c>
      <c r="C54" s="8">
        <f>B54/$B$67</f>
        <v>6.0606060606060606E-3</v>
      </c>
      <c r="D54" s="8">
        <f t="shared" si="2"/>
        <v>0.96363636363636374</v>
      </c>
      <c r="E54" s="9">
        <f t="shared" si="0"/>
        <v>96363.636363636368</v>
      </c>
      <c r="F54" s="15">
        <f>(E55-E54)/$B$70*100</f>
        <v>0.55944055944056892</v>
      </c>
    </row>
    <row r="55" spans="1:7" x14ac:dyDescent="0.25">
      <c r="A55" s="8" t="s">
        <v>45</v>
      </c>
      <c r="B55" s="8">
        <f t="shared" si="1"/>
        <v>12</v>
      </c>
      <c r="C55" s="8">
        <f>B55/$B$67</f>
        <v>5.5944055944055944E-3</v>
      </c>
      <c r="D55" s="8">
        <f t="shared" si="2"/>
        <v>0.96923076923076934</v>
      </c>
      <c r="E55" s="9">
        <f t="shared" si="0"/>
        <v>96923.076923076937</v>
      </c>
      <c r="F55" s="15">
        <f>(E56-E55)/$B$70*100</f>
        <v>0.51282051282051544</v>
      </c>
    </row>
    <row r="56" spans="1:7" x14ac:dyDescent="0.25">
      <c r="A56" s="8" t="s">
        <v>46</v>
      </c>
      <c r="B56" s="8">
        <f t="shared" si="1"/>
        <v>11</v>
      </c>
      <c r="C56" s="8">
        <f>B56/$B$67</f>
        <v>5.1282051282051282E-3</v>
      </c>
      <c r="D56" s="8">
        <f t="shared" si="2"/>
        <v>0.97435897435897445</v>
      </c>
      <c r="E56" s="9">
        <f t="shared" si="0"/>
        <v>97435.897435897452</v>
      </c>
      <c r="F56" s="15">
        <f>(E57-E56)/$B$70*100</f>
        <v>0.46620046620044736</v>
      </c>
    </row>
    <row r="57" spans="1:7" x14ac:dyDescent="0.25">
      <c r="A57" s="8" t="s">
        <v>47</v>
      </c>
      <c r="B57" s="8">
        <f t="shared" si="1"/>
        <v>10</v>
      </c>
      <c r="C57" s="8">
        <f>B57/$B$67</f>
        <v>4.662004662004662E-3</v>
      </c>
      <c r="D57" s="8">
        <f t="shared" si="2"/>
        <v>0.97902097902097907</v>
      </c>
      <c r="E57" s="9">
        <f t="shared" si="0"/>
        <v>97902.097902097899</v>
      </c>
      <c r="F57" s="15">
        <f>(E58-E57)/$B$70*100</f>
        <v>0.41958041958042303</v>
      </c>
    </row>
    <row r="58" spans="1:7" x14ac:dyDescent="0.25">
      <c r="A58" s="8" t="s">
        <v>48</v>
      </c>
      <c r="B58" s="8">
        <f t="shared" si="1"/>
        <v>9</v>
      </c>
      <c r="C58" s="8">
        <f>B58/$B$67</f>
        <v>4.1958041958041958E-3</v>
      </c>
      <c r="D58" s="8">
        <f t="shared" si="2"/>
        <v>0.9832167832167833</v>
      </c>
      <c r="E58" s="9">
        <f t="shared" si="0"/>
        <v>98321.678321678322</v>
      </c>
      <c r="F58" s="15">
        <f>(E59-E58)/$B$70*100</f>
        <v>0.37296037296038409</v>
      </c>
    </row>
    <row r="59" spans="1:7" x14ac:dyDescent="0.25">
      <c r="A59" s="8" t="s">
        <v>49</v>
      </c>
      <c r="B59" s="8">
        <f t="shared" si="1"/>
        <v>8</v>
      </c>
      <c r="C59" s="8">
        <f>B59/$B$67</f>
        <v>3.7296037296037296E-3</v>
      </c>
      <c r="D59" s="8">
        <f t="shared" si="2"/>
        <v>0.98694638694638703</v>
      </c>
      <c r="E59" s="9">
        <f t="shared" si="0"/>
        <v>98694.638694638707</v>
      </c>
      <c r="F59" s="15">
        <f>(E60-E59)/$B$70*100</f>
        <v>0.32634032634031612</v>
      </c>
      <c r="G59" s="15">
        <f>SUM(F1:F59)</f>
        <v>99.020979020979027</v>
      </c>
    </row>
    <row r="60" spans="1:7" x14ac:dyDescent="0.25">
      <c r="A60" s="10" t="s">
        <v>50</v>
      </c>
      <c r="B60" s="10">
        <f t="shared" si="1"/>
        <v>7</v>
      </c>
      <c r="C60" s="10">
        <f>B60/$B$67</f>
        <v>3.2634032634032634E-3</v>
      </c>
      <c r="D60" s="10">
        <f t="shared" si="2"/>
        <v>0.99020979020979027</v>
      </c>
      <c r="E60" s="11">
        <f t="shared" si="0"/>
        <v>99020.979020979023</v>
      </c>
      <c r="F60" s="15">
        <f>(E61-E60)/$B$70*100</f>
        <v>0.27972027972027719</v>
      </c>
    </row>
    <row r="61" spans="1:7" x14ac:dyDescent="0.25">
      <c r="A61" s="10" t="s">
        <v>51</v>
      </c>
      <c r="B61" s="10">
        <f t="shared" si="1"/>
        <v>6</v>
      </c>
      <c r="C61" s="10">
        <f>B61/$B$67</f>
        <v>2.7972027972027972E-3</v>
      </c>
      <c r="D61" s="10">
        <f t="shared" si="2"/>
        <v>0.99300699300699302</v>
      </c>
      <c r="E61" s="11">
        <f t="shared" si="0"/>
        <v>99300.6993006993</v>
      </c>
      <c r="F61" s="15">
        <f>(E62-E61)/$B$70*100</f>
        <v>0.23310023310023825</v>
      </c>
    </row>
    <row r="62" spans="1:7" x14ac:dyDescent="0.25">
      <c r="A62" s="10" t="s">
        <v>52</v>
      </c>
      <c r="B62" s="10">
        <f t="shared" si="1"/>
        <v>5</v>
      </c>
      <c r="C62" s="10">
        <f>B62/$B$67</f>
        <v>2.331002331002331E-3</v>
      </c>
      <c r="D62" s="10">
        <f t="shared" si="2"/>
        <v>0.99533799533799538</v>
      </c>
      <c r="E62" s="11">
        <f t="shared" si="0"/>
        <v>99533.799533799538</v>
      </c>
      <c r="F62" s="15">
        <f>(E63-E62)/$B$70*100</f>
        <v>0.1864801864801848</v>
      </c>
    </row>
    <row r="63" spans="1:7" x14ac:dyDescent="0.25">
      <c r="A63" s="10" t="s">
        <v>53</v>
      </c>
      <c r="B63" s="10">
        <f t="shared" si="1"/>
        <v>4</v>
      </c>
      <c r="C63" s="10">
        <f>B63/$B$67</f>
        <v>1.8648018648018648E-3</v>
      </c>
      <c r="D63" s="10">
        <f t="shared" si="2"/>
        <v>0.99720279720279725</v>
      </c>
      <c r="E63" s="11">
        <f t="shared" si="0"/>
        <v>99720.279720279723</v>
      </c>
      <c r="F63" s="15">
        <f>(E64-E63)/$B$70*100</f>
        <v>0.13986013986014587</v>
      </c>
    </row>
    <row r="64" spans="1:7" x14ac:dyDescent="0.25">
      <c r="A64" s="10" t="s">
        <v>54</v>
      </c>
      <c r="B64" s="10">
        <f t="shared" si="1"/>
        <v>3</v>
      </c>
      <c r="C64" s="10">
        <f>B64/$B$67</f>
        <v>1.3986013986013986E-3</v>
      </c>
      <c r="D64" s="10">
        <f t="shared" si="2"/>
        <v>0.99860139860139863</v>
      </c>
      <c r="E64" s="11">
        <f t="shared" si="0"/>
        <v>99860.139860139869</v>
      </c>
      <c r="F64" s="15">
        <f>(E65-E64)/$B$70*100</f>
        <v>9.3240093240077843E-2</v>
      </c>
    </row>
    <row r="65" spans="1:6" x14ac:dyDescent="0.25">
      <c r="A65" s="10" t="s">
        <v>55</v>
      </c>
      <c r="B65" s="10">
        <f t="shared" si="1"/>
        <v>2</v>
      </c>
      <c r="C65" s="10">
        <f>B65/$B$67</f>
        <v>9.324009324009324E-4</v>
      </c>
      <c r="D65" s="10">
        <f t="shared" si="2"/>
        <v>0.99953379953379951</v>
      </c>
      <c r="E65" s="11">
        <f t="shared" si="0"/>
        <v>99953.379953379947</v>
      </c>
      <c r="F65" s="15">
        <f>(E66-E65)/$B$70*100</f>
        <v>4.6620046620053472E-2</v>
      </c>
    </row>
    <row r="66" spans="1:6" x14ac:dyDescent="0.25">
      <c r="A66" s="12"/>
      <c r="B66" s="12">
        <f t="shared" si="1"/>
        <v>1</v>
      </c>
      <c r="C66" s="12">
        <f>B66/$B$67</f>
        <v>4.662004662004662E-4</v>
      </c>
      <c r="D66" s="12">
        <f t="shared" ref="D66" si="3">C66+D65</f>
        <v>1</v>
      </c>
      <c r="E66" s="14">
        <f t="shared" si="0"/>
        <v>100000</v>
      </c>
    </row>
    <row r="67" spans="1:6" x14ac:dyDescent="0.25">
      <c r="B67">
        <f>SUM(B2:B66)</f>
        <v>2145</v>
      </c>
      <c r="C67">
        <f>SUM(C2:C65)</f>
        <v>0.99953379953379951</v>
      </c>
    </row>
    <row r="69" spans="1:6" x14ac:dyDescent="0.25">
      <c r="A69" s="13" t="s">
        <v>56</v>
      </c>
      <c r="B69" s="13">
        <v>65</v>
      </c>
    </row>
    <row r="70" spans="1:6" x14ac:dyDescent="0.25">
      <c r="A70" t="s">
        <v>57</v>
      </c>
      <c r="B70">
        <v>100000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Stewart</dc:creator>
  <cp:lastModifiedBy>Stewart, Chris (US) - SS</cp:lastModifiedBy>
  <dcterms:created xsi:type="dcterms:W3CDTF">2025-02-12T00:14:25Z</dcterms:created>
  <dcterms:modified xsi:type="dcterms:W3CDTF">2026-06-15T19:22:47Z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8646e0b-a435-48bd-bb2e-6a777753dede_Enabled">
    <vt:lpwstr>true</vt:lpwstr>
  </property>
  <property fmtid="{D5CDD505-2E9C-101B-9397-08002B2CF9AE}" pid="3" name="MSIP_Label_a8646e0b-a435-48bd-bb2e-6a777753dede_SetDate">
    <vt:lpwstr>2026-06-15T18:09:33Z</vt:lpwstr>
  </property>
  <property fmtid="{D5CDD505-2E9C-101B-9397-08002B2CF9AE}" pid="4" name="MSIP_Label_a8646e0b-a435-48bd-bb2e-6a777753dede_Method">
    <vt:lpwstr>Privileged</vt:lpwstr>
  </property>
  <property fmtid="{D5CDD505-2E9C-101B-9397-08002B2CF9AE}" pid="5" name="MSIP_Label_a8646e0b-a435-48bd-bb2e-6a777753dede_Name">
    <vt:lpwstr>Unrestricted</vt:lpwstr>
  </property>
  <property fmtid="{D5CDD505-2E9C-101B-9397-08002B2CF9AE}" pid="6" name="MSIP_Label_a8646e0b-a435-48bd-bb2e-6a777753dede_SiteId">
    <vt:lpwstr>ba488c5e-f105-4a2b-a8b1-b57b26a44117</vt:lpwstr>
  </property>
  <property fmtid="{D5CDD505-2E9C-101B-9397-08002B2CF9AE}" pid="7" name="MSIP_Label_a8646e0b-a435-48bd-bb2e-6a777753dede_ActionId">
    <vt:lpwstr>eb568e30-bee7-4ab6-95a1-69d07bc4de42</vt:lpwstr>
  </property>
  <property fmtid="{D5CDD505-2E9C-101B-9397-08002B2CF9AE}" pid="8" name="MSIP_Label_a8646e0b-a435-48bd-bb2e-6a777753dede_ContentBits">
    <vt:lpwstr>0</vt:lpwstr>
  </property>
  <property fmtid="{D5CDD505-2E9C-101B-9397-08002B2CF9AE}" pid="9" name="MSIP_Label_a8646e0b-a435-48bd-bb2e-6a777753dede_Tag">
    <vt:lpwstr>10, 0, 1, 1</vt:lpwstr>
  </property>
</Properties>
</file>